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uta" sheetId="1" state="visible" r:id="rId3"/>
    <sheet name="Criterios" sheetId="2" state="visible" r:id="rId4"/>
    <sheet name="Reglas" sheetId="3" state="visible" r:id="rId5"/>
  </sheets>
  <definedNames>
    <definedName function="false" hidden="true" localSheetId="1" name="_xlnm._FilterDatabase" vbProcedure="false">Criterios!$A$1:$K$16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<sst xmlns="http://schemas.openxmlformats.org/spreadsheetml/2006/main" count="289" uniqueCount="156">
  <si>
    <t xml:space="preserve">Pauta general de evaluacion</t>
  </si>
  <si>
    <t xml:space="preserve">Versión 2</t>
  </si>
  <si>
    <t xml:space="preserve">Exportado el 19/09/2026 14:25</t>
  </si>
  <si>
    <t xml:space="preserve">Estado</t>
  </si>
  <si>
    <t xml:space="preserve">Publicada</t>
  </si>
  <si>
    <t xml:space="preserve">Vigencia desde</t>
  </si>
  <si>
    <t xml:space="preserve">15/09/2026</t>
  </si>
  <si>
    <t xml:space="preserve">Vigencia hasta</t>
  </si>
  <si>
    <t xml:space="preserve">Alcance</t>
  </si>
  <si>
    <t xml:space="preserve">Todas las carteras</t>
  </si>
  <si>
    <t xml:space="preserve">Descripción</t>
  </si>
  <si>
    <t xml:space="preserve">Pauta general de evaluacion. v2: PECUF.3 mide la declaracion escalonada de montos.</t>
  </si>
  <si>
    <t xml:space="preserve">Última actualización</t>
  </si>
  <si>
    <t xml:space="preserve">Reparto de peso por bloque</t>
  </si>
  <si>
    <t xml:space="preserve">Código</t>
  </si>
  <si>
    <t xml:space="preserve">Bloque</t>
  </si>
  <si>
    <t xml:space="preserve">Criterios</t>
  </si>
  <si>
    <t xml:space="preserve">Peso</t>
  </si>
  <si>
    <t xml:space="preserve">% del total</t>
  </si>
  <si>
    <t xml:space="preserve">PECUF</t>
  </si>
  <si>
    <t xml:space="preserve">Precisión de Error Crítico Usuario Final</t>
  </si>
  <si>
    <t xml:space="preserve">PECN</t>
  </si>
  <si>
    <t xml:space="preserve">Precisión de Error Crítico del Negocio</t>
  </si>
  <si>
    <t xml:space="preserve">PECC</t>
  </si>
  <si>
    <t xml:space="preserve">Precisión de Error Crítico de Cumplimiento</t>
  </si>
  <si>
    <t xml:space="preserve">PENC</t>
  </si>
  <si>
    <t xml:space="preserve">Precisión de Error No Crítico - Protocolos de Atención</t>
  </si>
  <si>
    <t xml:space="preserve">TOTAL</t>
  </si>
  <si>
    <t xml:space="preserve">Peso puntuable de la pauta</t>
  </si>
  <si>
    <t xml:space="preserve">El peso puntuable debe sumar 100 para que la pauta pueda publicarse. Los criterios anulantes de bloque no suman peso.</t>
  </si>
  <si>
    <t xml:space="preserve">Nombre del bloque</t>
  </si>
  <si>
    <t xml:space="preserve">Criterio</t>
  </si>
  <si>
    <t xml:space="preserve">Tipo</t>
  </si>
  <si>
    <t xml:space="preserve">Criticidad</t>
  </si>
  <si>
    <t xml:space="preserve">Fuente de evidencia</t>
  </si>
  <si>
    <t xml:space="preserve">Evidencia obligatoria</t>
  </si>
  <si>
    <t xml:space="preserve">Puede descalificar</t>
  </si>
  <si>
    <t xml:space="preserve">Detalle</t>
  </si>
  <si>
    <t xml:space="preserve">PECUF.1</t>
  </si>
  <si>
    <t xml:space="preserve">Falta de respeto</t>
  </si>
  <si>
    <t xml:space="preserve">Puntuable</t>
  </si>
  <si>
    <t xml:space="preserve">Error crítico de usuario final</t>
  </si>
  <si>
    <t xml:space="preserve">Audio</t>
  </si>
  <si>
    <t xml:space="preserve">Sí</t>
  </si>
  <si>
    <t xml:space="preserve">Mantiene respeto durante toda la llamada</t>
  </si>
  <si>
    <t xml:space="preserve">PECUF.2</t>
  </si>
  <si>
    <t xml:space="preserve">Escucha activa</t>
  </si>
  <si>
    <t xml:space="preserve">No</t>
  </si>
  <si>
    <t xml:space="preserve">Escucha, comprende y confirma</t>
  </si>
  <si>
    <t xml:space="preserve">PECUF.3</t>
  </si>
  <si>
    <t xml:space="preserve">Precisión de la información de la deuda</t>
  </si>
  <si>
    <t xml:space="preserve">Multifuente</t>
  </si>
  <si>
    <t xml:space="preserve">Comunica información financiera exacta</t>
  </si>
  <si>
    <t xml:space="preserve">PECUF.4</t>
  </si>
  <si>
    <t xml:space="preserve">Claridad con la información</t>
  </si>
  <si>
    <t xml:space="preserve">Transcripción</t>
  </si>
  <si>
    <t xml:space="preserve">Explicación clara y coherente</t>
  </si>
  <si>
    <t xml:space="preserve">PECN.1</t>
  </si>
  <si>
    <t xml:space="preserve">Sondeo y diagnóstico</t>
  </si>
  <si>
    <t xml:space="preserve">Error crítico del negocio</t>
  </si>
  <si>
    <t xml:space="preserve">Identifica causa y capacidad de pago</t>
  </si>
  <si>
    <t xml:space="preserve">PECN.2</t>
  </si>
  <si>
    <t xml:space="preserve">Negociación escalonada</t>
  </si>
  <si>
    <t xml:space="preserve">Propone alternativas orientadas al pago</t>
  </si>
  <si>
    <t xml:space="preserve">PECN.3</t>
  </si>
  <si>
    <t xml:space="preserve">Manejo de objeciones</t>
  </si>
  <si>
    <t xml:space="preserve">Argumenta según la objeción</t>
  </si>
  <si>
    <t xml:space="preserve">PECN.4</t>
  </si>
  <si>
    <t xml:space="preserve">Cierre de negociación</t>
  </si>
  <si>
    <t xml:space="preserve">Error crítico de cumplimiento</t>
  </si>
  <si>
    <t xml:space="preserve">Inducir a cierre para una promesa de pago</t>
  </si>
  <si>
    <t xml:space="preserve">PECC.1</t>
  </si>
  <si>
    <t xml:space="preserve">Filosofía Biznescob</t>
  </si>
  <si>
    <t xml:space="preserve">Protege la imagen de Mibanco</t>
  </si>
  <si>
    <t xml:space="preserve">PECC.2</t>
  </si>
  <si>
    <t xml:space="preserve">Confirmación del acuerdo</t>
  </si>
  <si>
    <t xml:space="preserve">Lectura de speech</t>
  </si>
  <si>
    <t xml:space="preserve">PECC.3</t>
  </si>
  <si>
    <t xml:space="preserve">Tipificación de la gestión</t>
  </si>
  <si>
    <t xml:space="preserve">Tipificación</t>
  </si>
  <si>
    <t xml:space="preserve">Registra el motivo de llamada de acuerdo al escenario.</t>
  </si>
  <si>
    <t xml:space="preserve">PENC.1</t>
  </si>
  <si>
    <t xml:space="preserve">Saludo de bienvenida</t>
  </si>
  <si>
    <t xml:space="preserve">Error no crítico</t>
  </si>
  <si>
    <t xml:space="preserve">Saluda oportunamente</t>
  </si>
  <si>
    <t xml:space="preserve">PENC.2</t>
  </si>
  <si>
    <t xml:space="preserve">Tono de voz</t>
  </si>
  <si>
    <t xml:space="preserve">Fluidez, modulación y dicción</t>
  </si>
  <si>
    <t xml:space="preserve">PENC.3</t>
  </si>
  <si>
    <t xml:space="preserve">Claridad del lenguaje oral</t>
  </si>
  <si>
    <t xml:space="preserve">PENC.4</t>
  </si>
  <si>
    <t xml:space="preserve">Despedida adecuada</t>
  </si>
  <si>
    <t xml:space="preserve">Cierre cordial</t>
  </si>
  <si>
    <t xml:space="preserve">Cuándo cumple</t>
  </si>
  <si>
    <t xml:space="preserve">Cuándo no cumple</t>
  </si>
  <si>
    <t xml:space="preserve">Aplicabilidad / No aplica</t>
  </si>
  <si>
    <t xml:space="preserve">Regla de evaluación</t>
  </si>
  <si>
    <t xml:space="preserve">Recomendación sugerida</t>
  </si>
  <si>
    <t xml:space="preserve">Cumple cuando el agente mantiene un trato respetuoso, sin insultos, burlas, humillación, descalificación ni juicio ofensivo.</t>
  </si>
  <si>
    <t xml:space="preserve">No cumple cuando el agente profiere insultos, ridiculiza, humilla, desacredita o usa expresiones ofensivas contra el cliente.</t>
  </si>
  <si>
    <t xml:space="preserve">Aplica a toda interacción audible del asesor.</t>
  </si>
  <si>
    <t xml:space="preserve">No agrede, ridiculiza, descalifica ni utiliza expresiones ofensivas. Una agresión grave se considera causal de descalificación según la regla crítica transversal.</t>
  </si>
  <si>
    <t xml:space="preserve">Cumple cuando escucha la explicación, responde a lo planteado y confirma o profundiza cuando es necesario.</t>
  </si>
  <si>
    <t xml:space="preserve">No cumple cuando interrumpe de forma improcedente, ignora la explicación del cliente o continúa sin atender su consulta u objeción.</t>
  </si>
  <si>
    <t xml:space="preserve">Aplica cuando el cliente entrega información, objeta, consulta o requiere comprensión del asesor.</t>
  </si>
  <si>
    <t xml:space="preserve">Evita interrupciones inoportunas, comprende lo expresado por el cliente y realiza preguntas de confirmación cuando la información no es clara.</t>
  </si>
  <si>
    <t xml:space="preserve">Cumple cuando los datos de deuda comunicados por el agente coinciden con la fuente disponible y se explican sin contradicción.</t>
  </si>
  <si>
    <t xml:space="preserve">No cumple cuando comunica un monto, producto, mora, cuota o condición incorrecta frente a la fuente verificable disponible.</t>
  </si>
  <si>
    <t xml:space="preserve">Aplica cuando el asesor comunica deuda, mora, producto, cuota, monto u otros datos financieros.</t>
  </si>
  <si>
    <t xml:space="preserve">Brinda únicamente datos vigentes y verificables: deuda, días de mora, producto, cuota u otros conceptos que correspondan al caso.</t>
  </si>
  <si>
    <t xml:space="preserve">Cumple cuando explica montos, condiciones y alternativas con orden, coherencia y lenguaje comprensible.</t>
  </si>
  <si>
    <t xml:space="preserve">No cumple cuando la explicación contradice información previa, resulta confusa o impide al cliente comprender la gestión.</t>
  </si>
  <si>
    <t xml:space="preserve">Aplica cuando el asesor entrega información o explica condiciones durante la llamada.</t>
  </si>
  <si>
    <t xml:space="preserve">Se expresa con orden, no se contradice, responde de forma comprensible y transmite seguridad sin generar confusión.</t>
  </si>
  <si>
    <t xml:space="preserve">Cumple cuando sondea la causa del atraso y la posibilidad real de pago; con tercero, confirma el vínculo o una vía legítima de contacto.</t>
  </si>
  <si>
    <t xml:space="preserve">No cumple cuando, existiendo interacción suficiente, no indaga causa, situación o posibilidad de pago, ni realiza el sondeo mínimo frente a un tercero.</t>
  </si>
  <si>
    <t xml:space="preserve">Aplica en toda interacción de cobranza, incluso con tercero: el asesor debe sondear si existe vínculo, conocimiento del titular o una vía legítima de contacto. No usa NO_APLICA.</t>
  </si>
  <si>
    <t xml:space="preserve">Realiza preguntas de diagnóstico y seguimiento para comprender la causa del no pago, intención y capacidad, sin convertir el sondeo en un interrogatorio.</t>
  </si>
  <si>
    <t xml:space="preserve">Cumple cuando propone o ajusta alternativas de pago según el diagnóstico, buscando una opción concreta y viable.</t>
  </si>
  <si>
    <t xml:space="preserve">No cumple cuando existe oportunidad de negociar y el agente no desarrolla una alternativa posterior o la propuesta ignora la situación planteada.</t>
  </si>
  <si>
    <t xml:space="preserve">Aplica en toda conversación con el titular. Solo puede ser NO_APLICA ante tercero confirmado o corte abrupto que impida responder; una propuesta sola no equivale a compromiso.</t>
  </si>
  <si>
    <t xml:space="preserve">Construye una propuesta acorde con el diagnóstico, presenta alternativas válidas y busca una acción concreta de pago dentro de las opciones autorizadas.</t>
  </si>
  <si>
    <t xml:space="preserve">Cumple cuando reconoce la objeción, responde con una alternativa o argumento válido y reconduce la conversación hacia una solución.</t>
  </si>
  <si>
    <t xml:space="preserve">No cumple cuando el cliente objeta o expresa imposibilidad y el agente no responde a esa objeción, la evade o presiona sin alternativa.</t>
  </si>
  <si>
    <t xml:space="preserve">Aplica en toda conversación con el titular. Ante objeción, rechazo, imposibilidad o postergación evalúa la respuesta posterior. Solo puede ser NO_APLICA ante tercero confirmado o corte abrupto que impida responder.</t>
  </si>
  <si>
    <t xml:space="preserve">Es una respuesta ante la negativa del cliente utilizando argumentos sólidos y válidos alineados a la objeción expuesta por el cliente.</t>
  </si>
  <si>
    <t xml:space="preserve">Cumple cuando induce una promesa de pago o siguiente acción verificable, adecuada a la conversación y a la capacidad expuesta.</t>
  </si>
  <si>
    <t xml:space="preserve">No cumple cuando existía oportunidad de gestión y el agente no intenta concretar un compromiso, monto, fecha o siguiente acción verificable.</t>
  </si>
  <si>
    <t xml:space="preserve">Aplica en toda conversación con el titular. Debe inducir una promesa o siguiente acción verificable. Solo puede ser NO_APLICA ante tercero confirmado o corte abrupto que impida gestionar.</t>
  </si>
  <si>
    <t xml:space="preserve">Luego de haber informado la deuda y haber hecho frente a sus objeciones, el agente debe cerrar la promesa de pago de forma efectiva y oportuna.</t>
  </si>
  <si>
    <t xml:space="preserve">Cumple cuando se refiere a Mibanco, sus personas, canales y procesos de forma profesional y sin desacreditarlos.</t>
  </si>
  <si>
    <t xml:space="preserve">No cumple cuando desacredita a Mibanco, sus colaboradores, procesos o canales, o culpa a terceros para justificar una mala gestión.</t>
  </si>
  <si>
    <t xml:space="preserve">Aplica a toda referencia del asesor sobre Mibanco, sus canales, colaboradores o procesos.</t>
  </si>
  <si>
    <t xml:space="preserve">No desacredita a Mibanco, a sus colaboradores, áreas, procesos o canales; tampoco responsabiliza a terceros para justificar una mala gestión.</t>
  </si>
  <si>
    <t xml:space="preserve">Cumple cuando, ante un acuerdo, confirma verbalmente las condiciones relevantes de forma clara para el cliente.</t>
  </si>
  <si>
    <t xml:space="preserve">No cumple cuando existe acuerdo o promesa y el agente omite la confirmación verbal necesaria de sus condiciones principales.</t>
  </si>
  <si>
    <t xml:space="preserve">Aplica cuando existe promesa, compromiso, abono, convenio o acuerdo verbal.</t>
  </si>
  <si>
    <t xml:space="preserve">Evalúa el speech de confirmación de promesa de pago verbal al cliente. Debe quedar claro el compromiso y sus condiciones principales.</t>
  </si>
  <si>
    <t xml:space="preserve">Cumple cuando la tipificación y observación registradas en la fuente de sistema describen correctamente el resultado de la gestión.</t>
  </si>
  <si>
    <t xml:space="preserve">No cumple cuando la fuente de sistema disponible evidencia tipificación u observación inconsistente con la gestión realizada.</t>
  </si>
  <si>
    <t xml:space="preserve">Aplica cuando existe tipificación o resultado de gestión registrado para la llamada.</t>
  </si>
  <si>
    <t xml:space="preserve">Tipifica de manera correcta el motivo o submotivo de la llamada y en el campo de observaciones deja un detalle completo.</t>
  </si>
  <si>
    <t xml:space="preserve">Cumple cuando inicia con saludo, se identifica y comunica que actúa en representación de Mibanco.</t>
  </si>
  <si>
    <t xml:space="preserve">No cumple cuando omite de forma material el saludo o la identificación requerida en una apertura audible.</t>
  </si>
  <si>
    <t xml:space="preserve">Aplica a llamadas con contacto efectivo o intento de apertura audible.</t>
  </si>
  <si>
    <t xml:space="preserve">Saluda al inicio de la interacción, indicando nombre y apellidos del ejecutivo, sin omitir que actúa en representación de Mibanco.</t>
  </si>
  <si>
    <t xml:space="preserve">Cumple cuando mantiene volumen, velocidad, dicción, modulación y fluidez apropiadas durante la gestión.</t>
  </si>
  <si>
    <t xml:space="preserve">No cumple cuando el tono, velocidad, dicción o muletillas dificultan de forma observable una atención profesional.</t>
  </si>
  <si>
    <t xml:space="preserve">Aplica cuando el audio permite evaluar locución de forma suficiente.</t>
  </si>
  <si>
    <t xml:space="preserve">Mantiene tono, velocidad, vocalización y fluidez adecuadas; evita muletillas repetitivas y tecnicismos innecesarios.</t>
  </si>
  <si>
    <t xml:space="preserve">Cumple cuando utiliza lenguaje claro, ordenado y comprensible, evitando tecnicismos o contradicciones innecesarias.</t>
  </si>
  <si>
    <t xml:space="preserve">No cumple cuando usa un lenguaje confuso, contradictorio o incomprensible que afecta la comprensión del cliente.</t>
  </si>
  <si>
    <t xml:space="preserve">Cumple cuando finaliza la llamada con una despedida cordial y profesional una vez concluida la gestión.</t>
  </si>
  <si>
    <t xml:space="preserve">No cumple cuando, existiendo cierre audible y sin interrupción técnica, finaliza sin cortesía o con una despedida inadecuada.</t>
  </si>
  <si>
    <t xml:space="preserve">Aplica cuando existe cierre audible de la llamada y no se corta por falla técnica o abandono del cliente.</t>
  </si>
  <si>
    <t xml:space="preserve">Finaliza la llamada de forma educada y profesional, una vez concluida la gestión.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</si>
</sst>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355B"/>
      <name val="Arial"/>
      <family val="0"/>
      <charset val="1"/>
    </font>
    <font>
      <sz val="11"/>
      <color rgb="FF4A6480"/>
      <name val="Arial"/>
      <family val="0"/>
      <charset val="1"/>
    </font>
    <font>
      <i val="true"/>
      <sz val="9"/>
      <color rgb="FF8496A8"/>
      <name val="Arial"/>
      <family val="0"/>
      <charset val="1"/>
    </font>
    <font>
      <b val="true"/>
      <sz val="10"/>
      <color rgb="FF23405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D3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355B"/>
      <name val="Arial"/>
      <family val="0"/>
      <charset val="1"/>
    </font>
    <font>
      <i val="true"/>
      <sz val="9"/>
      <color rgb="FF6D83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4FB"/>
        <bgColor rgb="FFF7FAFD"/>
      </patternFill>
    </fill>
    <fill>
      <patternFill patternType="solid">
        <fgColor rgb="FF1F4E79"/>
        <bgColor rgb="FF23405F"/>
      </patternFill>
    </fill>
    <fill>
      <patternFill patternType="solid">
        <fgColor rgb="FFF7FAF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D8399"/>
      <rgbColor rgb="FF9999FF"/>
      <rgbColor rgb="FF993366"/>
      <rgbColor rgb="FFF7FAFD"/>
      <rgbColor rgb="FFEEF4FB"/>
      <rgbColor rgb="FF660066"/>
      <rgbColor rgb="FFFF8080"/>
      <rgbColor rgb="FF0066CC"/>
      <rgbColor rgb="FFD0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480"/>
      <rgbColor rgb="FF8496A8"/>
      <rgbColor rgb="FF0D355B"/>
      <rgbColor rgb="FF339966"/>
      <rgbColor rgb="FF003300"/>
      <rgbColor rgb="FF333300"/>
      <rgbColor rgb="FF993300"/>
      <rgbColor rgb="FF993366"/>
      <rgbColor rgb="FF1F4E79"/>
      <rgbColor rgb="FF2340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6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/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31.5" hidden="false" customHeight="tru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6</v>
      </c>
    </row>
    <row r="12" customFormat="false" ht="15" hidden="false" customHeight="false" outlineLevel="0" collapsed="false">
      <c r="A12" s="6" t="s">
        <v>13</v>
      </c>
    </row>
    <row r="13" customFormat="false" ht="27.75" hidden="false" customHeight="true" outlineLevel="0" collapsed="false">
      <c r="A13" s="7" t="s">
        <v>14</v>
      </c>
      <c r="B13" s="7" t="s">
        <v>15</v>
      </c>
      <c r="C13" s="7" t="s">
        <v>16</v>
      </c>
      <c r="D13" s="7" t="s">
        <v>17</v>
      </c>
      <c r="E13" s="7" t="s">
        <v>18</v>
      </c>
    </row>
    <row r="14" customFormat="false" ht="15" hidden="false" customHeight="false" outlineLevel="0" collapsed="false">
      <c r="A14" s="8" t="s">
        <v>19</v>
      </c>
      <c r="B14" s="9" t="s">
        <v>20</v>
      </c>
      <c r="C14" s="8" t="n">
        <v>4</v>
      </c>
      <c r="D14" s="10" t="n">
        <v>30</v>
      </c>
      <c r="E14" s="11" t="n">
        <f aca="false">IFERROR(D14/$D$18,0)</f>
        <v>0.3</v>
      </c>
    </row>
    <row r="15" customFormat="false" ht="15" hidden="false" customHeight="false" outlineLevel="0" collapsed="false">
      <c r="A15" s="8" t="s">
        <v>21</v>
      </c>
      <c r="B15" s="9" t="s">
        <v>22</v>
      </c>
      <c r="C15" s="8" t="n">
        <v>3</v>
      </c>
      <c r="D15" s="10" t="n">
        <v>30</v>
      </c>
      <c r="E15" s="11" t="n">
        <f aca="false">IFERROR(D15/$D$18,0)</f>
        <v>0.3</v>
      </c>
    </row>
    <row r="16" customFormat="false" ht="15" hidden="false" customHeight="false" outlineLevel="0" collapsed="false">
      <c r="A16" s="8" t="s">
        <v>23</v>
      </c>
      <c r="B16" s="9" t="s">
        <v>24</v>
      </c>
      <c r="C16" s="8" t="n">
        <v>4</v>
      </c>
      <c r="D16" s="10" t="n">
        <v>30</v>
      </c>
      <c r="E16" s="11" t="n">
        <f aca="false">IFERROR(D16/$D$18,0)</f>
        <v>0.3</v>
      </c>
    </row>
    <row r="17" customFormat="false" ht="15" hidden="false" customHeight="false" outlineLevel="0" collapsed="false">
      <c r="A17" s="8" t="s">
        <v>25</v>
      </c>
      <c r="B17" s="9" t="s">
        <v>26</v>
      </c>
      <c r="C17" s="8" t="n">
        <v>4</v>
      </c>
      <c r="D17" s="10" t="n">
        <v>10</v>
      </c>
      <c r="E17" s="11" t="n">
        <f aca="false">IFERROR(D17/$D$18,0)</f>
        <v>0.1</v>
      </c>
    </row>
    <row r="18" customFormat="false" ht="15" hidden="false" customHeight="false" outlineLevel="0" collapsed="false">
      <c r="A18" s="12" t="s">
        <v>27</v>
      </c>
      <c r="B18" s="12" t="s">
        <v>28</v>
      </c>
      <c r="C18" s="13" t="n">
        <f aca="false">SUM(C14:C17)</f>
        <v>15</v>
      </c>
      <c r="D18" s="14" t="n">
        <f aca="false">SUM(D14:D17)</f>
        <v>100</v>
      </c>
      <c r="E18" s="12"/>
    </row>
    <row r="20" customFormat="false" ht="15" hidden="false" customHeight="false" outlineLevel="0" collapsed="false">
      <c r="A20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46"/>
  </cols>
  <sheetData>
    <row r="1" customFormat="false" ht="27.75" hidden="false" customHeight="true" outlineLevel="0" collapsed="false">
      <c r="A1" s="7" t="s">
        <v>15</v>
      </c>
      <c r="B1" s="7" t="s">
        <v>30</v>
      </c>
      <c r="C1" s="7" t="s">
        <v>14</v>
      </c>
      <c r="D1" s="7" t="s">
        <v>31</v>
      </c>
      <c r="E1" s="7" t="s">
        <v>17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</row>
    <row r="2" customFormat="false" ht="30" hidden="false" customHeight="true" outlineLevel="0" collapsed="false">
      <c r="A2" s="16" t="s">
        <v>19</v>
      </c>
      <c r="B2" s="17" t="s">
        <v>20</v>
      </c>
      <c r="C2" s="16" t="s">
        <v>38</v>
      </c>
      <c r="D2" s="17" t="s">
        <v>39</v>
      </c>
      <c r="E2" s="18" t="n">
        <v>20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43</v>
      </c>
      <c r="K2" s="17" t="s">
        <v>44</v>
      </c>
    </row>
    <row r="3" customFormat="false" ht="30" hidden="false" customHeight="true" outlineLevel="0" collapsed="false">
      <c r="A3" s="19" t="s">
        <v>19</v>
      </c>
      <c r="B3" s="5" t="s">
        <v>20</v>
      </c>
      <c r="C3" s="19" t="s">
        <v>45</v>
      </c>
      <c r="D3" s="5" t="s">
        <v>46</v>
      </c>
      <c r="E3" s="20" t="n">
        <v>2</v>
      </c>
      <c r="F3" s="19" t="s">
        <v>40</v>
      </c>
      <c r="G3" s="19" t="s">
        <v>41</v>
      </c>
      <c r="H3" s="19" t="s">
        <v>42</v>
      </c>
      <c r="I3" s="19" t="s">
        <v>43</v>
      </c>
      <c r="J3" s="19" t="s">
        <v>47</v>
      </c>
      <c r="K3" s="5" t="s">
        <v>48</v>
      </c>
    </row>
    <row r="4" customFormat="false" ht="30" hidden="false" customHeight="true" outlineLevel="0" collapsed="false">
      <c r="A4" s="16" t="s">
        <v>19</v>
      </c>
      <c r="B4" s="17" t="s">
        <v>20</v>
      </c>
      <c r="C4" s="16" t="s">
        <v>49</v>
      </c>
      <c r="D4" s="17" t="s">
        <v>50</v>
      </c>
      <c r="E4" s="18" t="n">
        <v>5</v>
      </c>
      <c r="F4" s="16" t="s">
        <v>40</v>
      </c>
      <c r="G4" s="16" t="s">
        <v>41</v>
      </c>
      <c r="H4" s="16" t="s">
        <v>51</v>
      </c>
      <c r="I4" s="16" t="s">
        <v>43</v>
      </c>
      <c r="J4" s="16" t="s">
        <v>47</v>
      </c>
      <c r="K4" s="17" t="s">
        <v>52</v>
      </c>
    </row>
    <row r="5" customFormat="false" ht="30" hidden="false" customHeight="true" outlineLevel="0" collapsed="false">
      <c r="A5" s="19" t="s">
        <v>19</v>
      </c>
      <c r="B5" s="5" t="s">
        <v>20</v>
      </c>
      <c r="C5" s="19" t="s">
        <v>53</v>
      </c>
      <c r="D5" s="5" t="s">
        <v>54</v>
      </c>
      <c r="E5" s="20" t="n">
        <v>3</v>
      </c>
      <c r="F5" s="19" t="s">
        <v>40</v>
      </c>
      <c r="G5" s="19" t="s">
        <v>41</v>
      </c>
      <c r="H5" s="19" t="s">
        <v>55</v>
      </c>
      <c r="I5" s="19" t="s">
        <v>43</v>
      </c>
      <c r="J5" s="19" t="s">
        <v>47</v>
      </c>
      <c r="K5" s="5" t="s">
        <v>56</v>
      </c>
    </row>
    <row r="6" customFormat="false" ht="30" hidden="false" customHeight="true" outlineLevel="0" collapsed="false">
      <c r="A6" s="16" t="s">
        <v>21</v>
      </c>
      <c r="B6" s="17" t="s">
        <v>22</v>
      </c>
      <c r="C6" s="16" t="s">
        <v>57</v>
      </c>
      <c r="D6" s="17" t="s">
        <v>58</v>
      </c>
      <c r="E6" s="18" t="n">
        <v>5</v>
      </c>
      <c r="F6" s="16" t="s">
        <v>40</v>
      </c>
      <c r="G6" s="16" t="s">
        <v>59</v>
      </c>
      <c r="H6" s="16" t="s">
        <v>55</v>
      </c>
      <c r="I6" s="16" t="s">
        <v>43</v>
      </c>
      <c r="J6" s="16" t="s">
        <v>47</v>
      </c>
      <c r="K6" s="17" t="s">
        <v>60</v>
      </c>
    </row>
    <row r="7" customFormat="false" ht="30" hidden="false" customHeight="true" outlineLevel="0" collapsed="false">
      <c r="A7" s="19" t="s">
        <v>21</v>
      </c>
      <c r="B7" s="5" t="s">
        <v>22</v>
      </c>
      <c r="C7" s="19" t="s">
        <v>61</v>
      </c>
      <c r="D7" s="5" t="s">
        <v>62</v>
      </c>
      <c r="E7" s="20" t="n">
        <v>10</v>
      </c>
      <c r="F7" s="19" t="s">
        <v>40</v>
      </c>
      <c r="G7" s="19" t="s">
        <v>59</v>
      </c>
      <c r="H7" s="19" t="s">
        <v>55</v>
      </c>
      <c r="I7" s="19" t="s">
        <v>43</v>
      </c>
      <c r="J7" s="19" t="s">
        <v>47</v>
      </c>
      <c r="K7" s="5" t="s">
        <v>63</v>
      </c>
    </row>
    <row r="8" customFormat="false" ht="30" hidden="false" customHeight="true" outlineLevel="0" collapsed="false">
      <c r="A8" s="16" t="s">
        <v>21</v>
      </c>
      <c r="B8" s="17" t="s">
        <v>22</v>
      </c>
      <c r="C8" s="16" t="s">
        <v>64</v>
      </c>
      <c r="D8" s="17" t="s">
        <v>65</v>
      </c>
      <c r="E8" s="18" t="n">
        <v>15</v>
      </c>
      <c r="F8" s="16" t="s">
        <v>40</v>
      </c>
      <c r="G8" s="16" t="s">
        <v>59</v>
      </c>
      <c r="H8" s="16" t="s">
        <v>55</v>
      </c>
      <c r="I8" s="16" t="s">
        <v>43</v>
      </c>
      <c r="J8" s="16" t="s">
        <v>47</v>
      </c>
      <c r="K8" s="17" t="s">
        <v>66</v>
      </c>
    </row>
    <row r="9" customFormat="false" ht="30" hidden="false" customHeight="true" outlineLevel="0" collapsed="false">
      <c r="A9" s="19" t="s">
        <v>23</v>
      </c>
      <c r="B9" s="5" t="s">
        <v>24</v>
      </c>
      <c r="C9" s="19" t="s">
        <v>67</v>
      </c>
      <c r="D9" s="5" t="s">
        <v>68</v>
      </c>
      <c r="E9" s="20" t="n">
        <v>10</v>
      </c>
      <c r="F9" s="19" t="s">
        <v>40</v>
      </c>
      <c r="G9" s="19" t="s">
        <v>69</v>
      </c>
      <c r="H9" s="19" t="s">
        <v>55</v>
      </c>
      <c r="I9" s="19" t="s">
        <v>43</v>
      </c>
      <c r="J9" s="19" t="s">
        <v>47</v>
      </c>
      <c r="K9" s="5" t="s">
        <v>70</v>
      </c>
    </row>
    <row r="10" customFormat="false" ht="30" hidden="false" customHeight="true" outlineLevel="0" collapsed="false">
      <c r="A10" s="16" t="s">
        <v>23</v>
      </c>
      <c r="B10" s="17" t="s">
        <v>24</v>
      </c>
      <c r="C10" s="16" t="s">
        <v>71</v>
      </c>
      <c r="D10" s="17" t="s">
        <v>72</v>
      </c>
      <c r="E10" s="18" t="n">
        <v>5</v>
      </c>
      <c r="F10" s="16" t="s">
        <v>40</v>
      </c>
      <c r="G10" s="16" t="s">
        <v>69</v>
      </c>
      <c r="H10" s="16" t="s">
        <v>55</v>
      </c>
      <c r="I10" s="16" t="s">
        <v>43</v>
      </c>
      <c r="J10" s="16" t="s">
        <v>47</v>
      </c>
      <c r="K10" s="17" t="s">
        <v>73</v>
      </c>
    </row>
    <row r="11" customFormat="false" ht="30" hidden="false" customHeight="true" outlineLevel="0" collapsed="false">
      <c r="A11" s="19" t="s">
        <v>23</v>
      </c>
      <c r="B11" s="5" t="s">
        <v>24</v>
      </c>
      <c r="C11" s="19" t="s">
        <v>74</v>
      </c>
      <c r="D11" s="5" t="s">
        <v>75</v>
      </c>
      <c r="E11" s="20" t="n">
        <v>5</v>
      </c>
      <c r="F11" s="19" t="s">
        <v>40</v>
      </c>
      <c r="G11" s="19" t="s">
        <v>69</v>
      </c>
      <c r="H11" s="19" t="s">
        <v>55</v>
      </c>
      <c r="I11" s="19" t="s">
        <v>43</v>
      </c>
      <c r="J11" s="19" t="s">
        <v>47</v>
      </c>
      <c r="K11" s="5" t="s">
        <v>76</v>
      </c>
    </row>
    <row r="12" customFormat="false" ht="30" hidden="false" customHeight="true" outlineLevel="0" collapsed="false">
      <c r="A12" s="16" t="s">
        <v>23</v>
      </c>
      <c r="B12" s="17" t="s">
        <v>24</v>
      </c>
      <c r="C12" s="16" t="s">
        <v>77</v>
      </c>
      <c r="D12" s="17" t="s">
        <v>78</v>
      </c>
      <c r="E12" s="18" t="n">
        <v>10</v>
      </c>
      <c r="F12" s="16" t="s">
        <v>40</v>
      </c>
      <c r="G12" s="16" t="s">
        <v>69</v>
      </c>
      <c r="H12" s="16" t="s">
        <v>79</v>
      </c>
      <c r="I12" s="16" t="s">
        <v>43</v>
      </c>
      <c r="J12" s="16" t="s">
        <v>47</v>
      </c>
      <c r="K12" s="17" t="s">
        <v>80</v>
      </c>
    </row>
    <row r="13" customFormat="false" ht="30" hidden="false" customHeight="true" outlineLevel="0" collapsed="false">
      <c r="A13" s="19" t="s">
        <v>25</v>
      </c>
      <c r="B13" s="5" t="s">
        <v>26</v>
      </c>
      <c r="C13" s="19" t="s">
        <v>81</v>
      </c>
      <c r="D13" s="5" t="s">
        <v>82</v>
      </c>
      <c r="E13" s="20" t="n">
        <v>2</v>
      </c>
      <c r="F13" s="19" t="s">
        <v>40</v>
      </c>
      <c r="G13" s="19" t="s">
        <v>83</v>
      </c>
      <c r="H13" s="19" t="s">
        <v>42</v>
      </c>
      <c r="I13" s="19" t="s">
        <v>47</v>
      </c>
      <c r="J13" s="19" t="s">
        <v>47</v>
      </c>
      <c r="K13" s="5" t="s">
        <v>84</v>
      </c>
    </row>
    <row r="14" customFormat="false" ht="30" hidden="false" customHeight="true" outlineLevel="0" collapsed="false">
      <c r="A14" s="16" t="s">
        <v>25</v>
      </c>
      <c r="B14" s="17" t="s">
        <v>26</v>
      </c>
      <c r="C14" s="16" t="s">
        <v>85</v>
      </c>
      <c r="D14" s="17" t="s">
        <v>86</v>
      </c>
      <c r="E14" s="18" t="n">
        <v>3</v>
      </c>
      <c r="F14" s="16" t="s">
        <v>40</v>
      </c>
      <c r="G14" s="16" t="s">
        <v>83</v>
      </c>
      <c r="H14" s="16" t="s">
        <v>42</v>
      </c>
      <c r="I14" s="16" t="s">
        <v>47</v>
      </c>
      <c r="J14" s="16" t="s">
        <v>47</v>
      </c>
      <c r="K14" s="17" t="s">
        <v>87</v>
      </c>
    </row>
    <row r="15" customFormat="false" ht="30" hidden="false" customHeight="true" outlineLevel="0" collapsed="false">
      <c r="A15" s="19" t="s">
        <v>25</v>
      </c>
      <c r="B15" s="5" t="s">
        <v>26</v>
      </c>
      <c r="C15" s="19" t="s">
        <v>88</v>
      </c>
      <c r="D15" s="5" t="s">
        <v>89</v>
      </c>
      <c r="E15" s="20" t="n">
        <v>3</v>
      </c>
      <c r="F15" s="19" t="s">
        <v>40</v>
      </c>
      <c r="G15" s="19" t="s">
        <v>83</v>
      </c>
      <c r="H15" s="19" t="s">
        <v>55</v>
      </c>
      <c r="I15" s="19" t="s">
        <v>47</v>
      </c>
      <c r="J15" s="19" t="s">
        <v>47</v>
      </c>
      <c r="K15" s="5" t="s">
        <v>56</v>
      </c>
    </row>
    <row r="16" customFormat="false" ht="30" hidden="false" customHeight="true" outlineLevel="0" collapsed="false">
      <c r="A16" s="16" t="s">
        <v>25</v>
      </c>
      <c r="B16" s="17" t="s">
        <v>26</v>
      </c>
      <c r="C16" s="16" t="s">
        <v>90</v>
      </c>
      <c r="D16" s="17" t="s">
        <v>91</v>
      </c>
      <c r="E16" s="18" t="n">
        <v>2</v>
      </c>
      <c r="F16" s="16" t="s">
        <v>40</v>
      </c>
      <c r="G16" s="16" t="s">
        <v>83</v>
      </c>
      <c r="H16" s="16" t="s">
        <v>42</v>
      </c>
      <c r="I16" s="16" t="s">
        <v>47</v>
      </c>
      <c r="J16" s="16" t="s">
        <v>47</v>
      </c>
      <c r="K16" s="17" t="s">
        <v>92</v>
      </c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6" min="3" style="0" width="52"/>
    <col collapsed="false" customWidth="true" hidden="false" outlineLevel="0" max="7" min="7" style="0" width="44"/>
  </cols>
  <sheetData>
    <row r="1" customFormat="false" ht="27.75" hidden="false" customHeight="true" outlineLevel="0" collapsed="false">
      <c r="A1" s="7" t="s">
        <v>14</v>
      </c>
      <c r="B1" s="7" t="s">
        <v>31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</row>
    <row r="2" customFormat="false" ht="60" hidden="false" customHeight="true" outlineLevel="0" collapsed="false">
      <c r="A2" s="17" t="s">
        <v>38</v>
      </c>
      <c r="B2" s="17" t="s">
        <v>39</v>
      </c>
      <c r="C2" s="17" t="s">
        <v>98</v>
      </c>
      <c r="D2" s="17" t="s">
        <v>99</v>
      </c>
      <c r="E2" s="17" t="s">
        <v>100</v>
      </c>
      <c r="F2" s="17" t="s">
        <v>101</v>
      </c>
      <c r="G2" s="17"/>
    </row>
    <row r="3" customFormat="false" ht="45" hidden="false" customHeight="true" outlineLevel="0" collapsed="false">
      <c r="A3" s="5" t="s">
        <v>45</v>
      </c>
      <c r="B3" s="5" t="s">
        <v>46</v>
      </c>
      <c r="C3" s="5" t="s">
        <v>102</v>
      </c>
      <c r="D3" s="5" t="s">
        <v>103</v>
      </c>
      <c r="E3" s="5" t="s">
        <v>104</v>
      </c>
      <c r="F3" s="5" t="s">
        <v>105</v>
      </c>
      <c r="G3" s="5"/>
    </row>
    <row r="4" customFormat="false" ht="45" hidden="false" customHeight="true" outlineLevel="0" collapsed="false">
      <c r="A4" s="17" t="s">
        <v>49</v>
      </c>
      <c r="B4" s="17" t="s">
        <v>50</v>
      </c>
      <c r="C4" s="17" t="s">
        <v>106</v>
      </c>
      <c r="D4" s="17" t="s">
        <v>107</v>
      </c>
      <c r="E4" s="17" t="s">
        <v>108</v>
      </c>
      <c r="F4" s="17" t="s">
        <v>109</v>
      </c>
      <c r="G4" s="17"/>
    </row>
    <row r="5" customFormat="false" ht="45" hidden="false" customHeight="true" outlineLevel="0" collapsed="false">
      <c r="A5" s="5" t="s">
        <v>53</v>
      </c>
      <c r="B5" s="5" t="s">
        <v>54</v>
      </c>
      <c r="C5" s="5" t="s">
        <v>110</v>
      </c>
      <c r="D5" s="5" t="s">
        <v>111</v>
      </c>
      <c r="E5" s="5" t="s">
        <v>112</v>
      </c>
      <c r="F5" s="5" t="s">
        <v>113</v>
      </c>
      <c r="G5" s="5"/>
    </row>
    <row r="6" customFormat="false" ht="60" hidden="false" customHeight="true" outlineLevel="0" collapsed="false">
      <c r="A6" s="17" t="s">
        <v>57</v>
      </c>
      <c r="B6" s="17" t="s">
        <v>58</v>
      </c>
      <c r="C6" s="17" t="s">
        <v>114</v>
      </c>
      <c r="D6" s="17" t="s">
        <v>115</v>
      </c>
      <c r="E6" s="17" t="s">
        <v>116</v>
      </c>
      <c r="F6" s="17" t="s">
        <v>117</v>
      </c>
      <c r="G6" s="17"/>
    </row>
    <row r="7" customFormat="false" ht="60" hidden="false" customHeight="true" outlineLevel="0" collapsed="false">
      <c r="A7" s="5" t="s">
        <v>61</v>
      </c>
      <c r="B7" s="5" t="s">
        <v>62</v>
      </c>
      <c r="C7" s="5" t="s">
        <v>118</v>
      </c>
      <c r="D7" s="5" t="s">
        <v>119</v>
      </c>
      <c r="E7" s="5" t="s">
        <v>120</v>
      </c>
      <c r="F7" s="5" t="s">
        <v>121</v>
      </c>
      <c r="G7" s="5"/>
    </row>
    <row r="8" customFormat="false" ht="75" hidden="false" customHeight="true" outlineLevel="0" collapsed="false">
      <c r="A8" s="17" t="s">
        <v>64</v>
      </c>
      <c r="B8" s="17" t="s">
        <v>65</v>
      </c>
      <c r="C8" s="17" t="s">
        <v>122</v>
      </c>
      <c r="D8" s="17" t="s">
        <v>123</v>
      </c>
      <c r="E8" s="17" t="s">
        <v>124</v>
      </c>
      <c r="F8" s="17" t="s">
        <v>125</v>
      </c>
      <c r="G8" s="17"/>
    </row>
    <row r="9" customFormat="false" ht="60" hidden="false" customHeight="true" outlineLevel="0" collapsed="false">
      <c r="A9" s="5" t="s">
        <v>67</v>
      </c>
      <c r="B9" s="5" t="s">
        <v>68</v>
      </c>
      <c r="C9" s="5" t="s">
        <v>126</v>
      </c>
      <c r="D9" s="5" t="s">
        <v>127</v>
      </c>
      <c r="E9" s="5" t="s">
        <v>128</v>
      </c>
      <c r="F9" s="5" t="s">
        <v>129</v>
      </c>
      <c r="G9" s="5"/>
    </row>
    <row r="10" customFormat="false" ht="45" hidden="false" customHeight="true" outlineLevel="0" collapsed="false">
      <c r="A10" s="17" t="s">
        <v>71</v>
      </c>
      <c r="B10" s="17" t="s">
        <v>72</v>
      </c>
      <c r="C10" s="17" t="s">
        <v>130</v>
      </c>
      <c r="D10" s="17" t="s">
        <v>131</v>
      </c>
      <c r="E10" s="17" t="s">
        <v>132</v>
      </c>
      <c r="F10" s="17" t="s">
        <v>133</v>
      </c>
      <c r="G10" s="17"/>
    </row>
    <row r="11" customFormat="false" ht="45" hidden="false" customHeight="true" outlineLevel="0" collapsed="false">
      <c r="A11" s="5" t="s">
        <v>74</v>
      </c>
      <c r="B11" s="5" t="s">
        <v>75</v>
      </c>
      <c r="C11" s="5" t="s">
        <v>134</v>
      </c>
      <c r="D11" s="5" t="s">
        <v>135</v>
      </c>
      <c r="E11" s="5" t="s">
        <v>136</v>
      </c>
      <c r="F11" s="5" t="s">
        <v>137</v>
      </c>
      <c r="G11" s="5"/>
    </row>
    <row r="12" customFormat="false" ht="45" hidden="false" customHeight="true" outlineLevel="0" collapsed="false">
      <c r="A12" s="17" t="s">
        <v>77</v>
      </c>
      <c r="B12" s="17" t="s">
        <v>78</v>
      </c>
      <c r="C12" s="17" t="s">
        <v>138</v>
      </c>
      <c r="D12" s="17" t="s">
        <v>139</v>
      </c>
      <c r="E12" s="17" t="s">
        <v>140</v>
      </c>
      <c r="F12" s="17" t="s">
        <v>141</v>
      </c>
      <c r="G12" s="17"/>
    </row>
    <row r="13" customFormat="false" ht="45" hidden="false" customHeight="true" outlineLevel="0" collapsed="false">
      <c r="A13" s="5" t="s">
        <v>81</v>
      </c>
      <c r="B13" s="5" t="s">
        <v>82</v>
      </c>
      <c r="C13" s="5" t="s">
        <v>142</v>
      </c>
      <c r="D13" s="5" t="s">
        <v>143</v>
      </c>
      <c r="E13" s="5" t="s">
        <v>144</v>
      </c>
      <c r="F13" s="5" t="s">
        <v>145</v>
      </c>
      <c r="G13" s="5"/>
    </row>
    <row r="14" customFormat="false" ht="45" hidden="false" customHeight="true" outlineLevel="0" collapsed="false">
      <c r="A14" s="17" t="s">
        <v>85</v>
      </c>
      <c r="B14" s="17" t="s">
        <v>86</v>
      </c>
      <c r="C14" s="17" t="s">
        <v>146</v>
      </c>
      <c r="D14" s="17" t="s">
        <v>147</v>
      </c>
      <c r="E14" s="17" t="s">
        <v>148</v>
      </c>
      <c r="F14" s="17" t="s">
        <v>149</v>
      </c>
      <c r="G14" s="17"/>
    </row>
    <row r="15" customFormat="false" ht="45" hidden="false" customHeight="true" outlineLevel="0" collapsed="false">
      <c r="A15" s="5" t="s">
        <v>88</v>
      </c>
      <c r="B15" s="5" t="s">
        <v>89</v>
      </c>
      <c r="C15" s="5" t="s">
        <v>150</v>
      </c>
      <c r="D15" s="5" t="s">
        <v>151</v>
      </c>
      <c r="E15" s="5" t="s">
        <v>112</v>
      </c>
      <c r="F15" s="5" t="s">
        <v>113</v>
      </c>
      <c r="G15" s="5"/>
    </row>
    <row r="16" customFormat="false" ht="45" hidden="false" customHeight="true" outlineLevel="0" collapsed="false">
      <c r="A16" s="17" t="s">
        <v>90</v>
      </c>
      <c r="B16" s="17" t="s">
        <v>91</v>
      </c>
      <c r="C16" s="17" t="s">
        <v>152</v>
      </c>
      <c r="D16" s="17" t="s">
        <v>153</v>
      </c>
      <c r="E16" s="17" t="s">
        <v>154</v>
      </c>
      <c r="F16" s="17" t="s">
        <v>155</v>
      </c>
      <c r="G16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2026-09-19T14:25:53Z</dcterms:created>
  <dc:creator>openpyxl</dc:creator>
  <dc:description/>
  <dc:language>en-US</dc:language>
  <cp:lastModifiedBy/>
  <dcterms:modified xsi:type="dcterms:W3CDTF">2026-09-19T14:25:53Z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